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ie\Downloads\"/>
    </mc:Choice>
  </mc:AlternateContent>
  <bookViews>
    <workbookView xWindow="0" yWindow="0" windowWidth="19200" windowHeight="8390"/>
  </bookViews>
  <sheets>
    <sheet name="Sheet1" sheetId="1" r:id="rId1"/>
  </sheets>
  <definedNames>
    <definedName name="solver_adj" localSheetId="0" hidden="1">Sheet1!$B$12:$C$14,Sheet1!$C$17:$F$18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Sheet1!$B$17</definedName>
    <definedName name="solver_lhs2" localSheetId="0" hidden="1">Sheet1!$B$18</definedName>
    <definedName name="solver_lhs3" localSheetId="0" hidden="1">Sheet1!$C$17:$F$18</definedName>
    <definedName name="solver_lhs4" localSheetId="0" hidden="1">Sheet1!$C$19:$F$19</definedName>
    <definedName name="solver_lhs5" localSheetId="0" hidden="1">Sheet1!$D$12:$D$14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Sheet1!$B$25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hs1" localSheetId="0" hidden="1">Sheet1!$G$17</definedName>
    <definedName name="solver_rhs2" localSheetId="0" hidden="1">Sheet1!$G$18</definedName>
    <definedName name="solver_rhs3" localSheetId="0" hidden="1">0</definedName>
    <definedName name="solver_rhs4" localSheetId="0" hidden="1">Sheet1!$C$20:$F$20</definedName>
    <definedName name="solver_rhs5" localSheetId="0" hidden="1">Sheet1!$B$4:$B$6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3" i="1"/>
  <c r="B25" i="1" s="1"/>
  <c r="G18" i="1"/>
  <c r="G17" i="1"/>
  <c r="F19" i="1"/>
  <c r="E19" i="1"/>
  <c r="D19" i="1"/>
  <c r="C19" i="1"/>
  <c r="C15" i="1"/>
  <c r="B18" i="1" s="1"/>
  <c r="B15" i="1"/>
  <c r="B17" i="1" s="1"/>
  <c r="D13" i="1"/>
  <c r="D14" i="1"/>
  <c r="D12" i="1"/>
</calcChain>
</file>

<file path=xl/sharedStrings.xml><?xml version="1.0" encoding="utf-8"?>
<sst xmlns="http://schemas.openxmlformats.org/spreadsheetml/2006/main" count="37" uniqueCount="29">
  <si>
    <t>Kebun</t>
  </si>
  <si>
    <t>Ton</t>
  </si>
  <si>
    <t>P1 (Rp/Ton)</t>
  </si>
  <si>
    <t>P2 (Rp/Ton)</t>
  </si>
  <si>
    <t>Kebun A</t>
  </si>
  <si>
    <t>Kebun B</t>
  </si>
  <si>
    <t>Kebun C</t>
  </si>
  <si>
    <t>Pabrik 1</t>
  </si>
  <si>
    <t>Dari</t>
  </si>
  <si>
    <t>PD1</t>
  </si>
  <si>
    <t>PD2</t>
  </si>
  <si>
    <t>PD3</t>
  </si>
  <si>
    <t>PD4</t>
  </si>
  <si>
    <t>Column1</t>
  </si>
  <si>
    <t>Pabrik 2</t>
  </si>
  <si>
    <t>Alokasi TBS</t>
  </si>
  <si>
    <t>Total Terima</t>
  </si>
  <si>
    <t>Kirim P1</t>
  </si>
  <si>
    <t>Kirim P2</t>
  </si>
  <si>
    <t>Total kirim</t>
  </si>
  <si>
    <t>Pabrik</t>
  </si>
  <si>
    <t>Produksi CPO</t>
  </si>
  <si>
    <t>P1</t>
  </si>
  <si>
    <t>Total Distribusi</t>
  </si>
  <si>
    <t>P2</t>
  </si>
  <si>
    <t>Permintaan</t>
  </si>
  <si>
    <t>Total Biaya TBS</t>
  </si>
  <si>
    <t>Total Biaya CPO</t>
  </si>
  <si>
    <t>Total 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</si>
</sst>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p&quot;* #,##0.00_-;\-&quot;Rp&quot;* #,##0.00_-;_-&quot;Rp&quot;* &quot;-&quot;??_-;_-@_-"/>
    <numFmt numFmtId="164" formatCode="#,##0_ ;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44" fontId="2" fillId="2" borderId="3" xfId="1" applyFont="1" applyFill="1" applyBorder="1"/>
    <xf numFmtId="44" fontId="2" fillId="2" borderId="4" xfId="1" applyFont="1" applyFill="1" applyBorder="1"/>
    <xf numFmtId="44" fontId="0" fillId="3" borderId="3" xfId="1" applyFont="1" applyFill="1" applyBorder="1"/>
    <xf numFmtId="44" fontId="0" fillId="3" borderId="4" xfId="1" applyFont="1" applyFill="1" applyBorder="1"/>
    <xf numFmtId="44" fontId="0" fillId="0" borderId="5" xfId="1" applyFont="1" applyBorder="1"/>
    <xf numFmtId="44" fontId="0" fillId="0" borderId="6" xfId="1" applyFont="1" applyBorder="1"/>
    <xf numFmtId="44" fontId="0" fillId="3" borderId="5" xfId="1" applyFont="1" applyFill="1" applyBorder="1"/>
    <xf numFmtId="44" fontId="0" fillId="3" borderId="6" xfId="1" applyFont="1" applyFill="1" applyBorder="1"/>
    <xf numFmtId="44" fontId="2" fillId="2" borderId="5" xfId="1" applyFont="1" applyFill="1" applyBorder="1"/>
    <xf numFmtId="44" fontId="2" fillId="2" borderId="6" xfId="1" applyFont="1" applyFill="1" applyBorder="1"/>
    <xf numFmtId="44" fontId="0" fillId="0" borderId="7" xfId="1" applyFont="1" applyBorder="1"/>
    <xf numFmtId="44" fontId="0" fillId="0" borderId="2" xfId="1" applyFont="1" applyBorder="1"/>
    <xf numFmtId="44" fontId="0" fillId="0" borderId="0" xfId="1" applyFont="1" applyFill="1" applyBorder="1"/>
    <xf numFmtId="44" fontId="3" fillId="3" borderId="5" xfId="1" applyFont="1" applyFill="1" applyBorder="1"/>
    <xf numFmtId="44" fontId="3" fillId="3" borderId="6" xfId="1" applyFont="1" applyFill="1" applyBorder="1"/>
    <xf numFmtId="44" fontId="0" fillId="4" borderId="5" xfId="1" applyFont="1" applyFill="1" applyBorder="1"/>
    <xf numFmtId="44" fontId="0" fillId="4" borderId="6" xfId="1" applyFont="1" applyFill="1" applyBorder="1"/>
    <xf numFmtId="44" fontId="0" fillId="3" borderId="8" xfId="1" applyFont="1" applyFill="1" applyBorder="1"/>
    <xf numFmtId="44" fontId="0" fillId="3" borderId="1" xfId="1" applyFont="1" applyFill="1" applyBorder="1"/>
    <xf numFmtId="164" fontId="0" fillId="3" borderId="3" xfId="1" applyNumberFormat="1" applyFont="1" applyFill="1" applyBorder="1"/>
    <xf numFmtId="164" fontId="0" fillId="0" borderId="5" xfId="1" applyNumberFormat="1" applyFont="1" applyBorder="1"/>
    <xf numFmtId="164" fontId="0" fillId="3" borderId="5" xfId="1" applyNumberFormat="1" applyFont="1" applyFill="1" applyBorder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3">
    <dxf>
      <numFmt numFmtId="164" formatCode="#,##0_ ;\-#,##0\ "/>
    </dxf>
    <dxf>
      <numFmt numFmtId="164" formatCode="#,##0_ ;\-#,##0\ "/>
    </dxf>
    <dxf>
      <numFmt numFmtId="164" formatCode="#,##0_ ;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1:D15" totalsRowShown="0" headerRowCellStyle="Currency" dataCellStyle="Currency">
  <autoFilter ref="A11:D15"/>
  <tableColumns count="4">
    <tableColumn id="1" name="Alokasi TBS" dataCellStyle="Currency"/>
    <tableColumn id="2" name="Kirim P1" dataDxfId="2" dataCellStyle="Currency"/>
    <tableColumn id="3" name="Kirim P2" dataDxfId="1" dataCellStyle="Currency"/>
    <tableColumn id="4" name="Total kirim" dataDxfId="0" dataCellStyle="Currency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6:G20" totalsRowShown="0" headerRowCellStyle="Currency" dataCellStyle="Currency">
  <autoFilter ref="A16:G20"/>
  <tableColumns count="7">
    <tableColumn id="1" name="Pabrik" dataCellStyle="Currency"/>
    <tableColumn id="2" name="Produksi CPO" dataCellStyle="Currency"/>
    <tableColumn id="3" name="PD1" dataCellStyle="Currency"/>
    <tableColumn id="4" name="PD2" dataCellStyle="Currency"/>
    <tableColumn id="5" name="PD3" dataCellStyle="Currency"/>
    <tableColumn id="6" name="PD4" dataCellStyle="Currency"/>
    <tableColumn id="7" name="Total Distribusi" dataCellStyle="Currenc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tabSelected="1" zoomScaleNormal="100" workbookViewId="0">
      <selection activeCell="D15" sqref="D15"/>
    </sheetView>
  </sheetViews>
  <sheetFormatPr defaultRowHeight="14.5" x14ac:dyDescent="0.35"/>
  <cols>
    <col min="1" max="1" width="13.90625" style="1" customWidth="1"/>
    <col min="2" max="2" width="15.90625" style="1" customWidth="1"/>
    <col min="3" max="3" width="17.54296875" style="1" customWidth="1"/>
    <col min="4" max="4" width="16.26953125" style="1" customWidth="1"/>
    <col min="5" max="5" width="13.54296875" style="1" customWidth="1"/>
    <col min="6" max="6" width="9.7265625" style="1" bestFit="1" customWidth="1"/>
    <col min="7" max="7" width="14.1796875" style="1" customWidth="1"/>
    <col min="8" max="16384" width="8.7265625" style="1"/>
  </cols>
  <sheetData>
    <row r="2" spans="1:7" ht="15" thickBot="1" x14ac:dyDescent="0.4"/>
    <row r="3" spans="1:7" ht="15" thickBot="1" x14ac:dyDescent="0.4">
      <c r="A3" s="2" t="s">
        <v>0</v>
      </c>
      <c r="B3" s="2" t="s">
        <v>1</v>
      </c>
      <c r="C3" s="2" t="s">
        <v>2</v>
      </c>
      <c r="D3" s="2" t="s">
        <v>3</v>
      </c>
      <c r="E3" s="3" t="s">
        <v>13</v>
      </c>
    </row>
    <row r="4" spans="1:7" x14ac:dyDescent="0.35">
      <c r="A4" s="4" t="s">
        <v>4</v>
      </c>
      <c r="B4" s="21">
        <v>5000</v>
      </c>
      <c r="C4" s="4">
        <v>50000</v>
      </c>
      <c r="D4" s="4">
        <v>80000</v>
      </c>
      <c r="E4" s="5"/>
    </row>
    <row r="5" spans="1:7" x14ac:dyDescent="0.35">
      <c r="A5" s="6" t="s">
        <v>5</v>
      </c>
      <c r="B5" s="22">
        <v>4000</v>
      </c>
      <c r="C5" s="6">
        <v>70000</v>
      </c>
      <c r="D5" s="6">
        <v>40000</v>
      </c>
      <c r="E5" s="7"/>
    </row>
    <row r="6" spans="1:7" x14ac:dyDescent="0.35">
      <c r="A6" s="8" t="s">
        <v>6</v>
      </c>
      <c r="B6" s="23">
        <v>3500</v>
      </c>
      <c r="C6" s="8">
        <v>60000</v>
      </c>
      <c r="D6" s="8">
        <v>55000</v>
      </c>
      <c r="E6" s="9"/>
    </row>
    <row r="7" spans="1:7" ht="15" thickBot="1" x14ac:dyDescent="0.4">
      <c r="A7" s="10" t="s">
        <v>8</v>
      </c>
      <c r="B7" s="10" t="s">
        <v>9</v>
      </c>
      <c r="C7" s="10" t="s">
        <v>10</v>
      </c>
      <c r="D7" s="10" t="s">
        <v>11</v>
      </c>
      <c r="E7" s="11" t="s">
        <v>12</v>
      </c>
    </row>
    <row r="8" spans="1:7" x14ac:dyDescent="0.35">
      <c r="A8" s="4" t="s">
        <v>7</v>
      </c>
      <c r="B8" s="4">
        <v>100000</v>
      </c>
      <c r="C8" s="4">
        <v>120000</v>
      </c>
      <c r="D8" s="4">
        <v>90000</v>
      </c>
      <c r="E8" s="5">
        <v>110000</v>
      </c>
    </row>
    <row r="9" spans="1:7" ht="15" thickBot="1" x14ac:dyDescent="0.4">
      <c r="A9" s="12" t="s">
        <v>14</v>
      </c>
      <c r="B9" s="12">
        <v>130000</v>
      </c>
      <c r="C9" s="12">
        <v>80000</v>
      </c>
      <c r="D9" s="12">
        <v>95000</v>
      </c>
      <c r="E9" s="13">
        <v>85000</v>
      </c>
    </row>
    <row r="11" spans="1:7" ht="15" thickBot="1" x14ac:dyDescent="0.4">
      <c r="A11" s="1" t="s">
        <v>15</v>
      </c>
      <c r="B11" s="1" t="s">
        <v>17</v>
      </c>
      <c r="C11" s="1" t="s">
        <v>18</v>
      </c>
      <c r="D11" s="1" t="s">
        <v>19</v>
      </c>
    </row>
    <row r="12" spans="1:7" x14ac:dyDescent="0.35">
      <c r="A12" s="4" t="s">
        <v>4</v>
      </c>
      <c r="B12" s="24">
        <v>1776.2626257259124</v>
      </c>
      <c r="C12" s="24">
        <v>2314.646464879615</v>
      </c>
      <c r="D12" s="24">
        <f>SUM(B12:C12)</f>
        <v>4090.9090906055271</v>
      </c>
    </row>
    <row r="13" spans="1:7" x14ac:dyDescent="0.35">
      <c r="A13" s="6" t="s">
        <v>5</v>
      </c>
      <c r="B13" s="24">
        <v>1736.8686859853055</v>
      </c>
      <c r="C13" s="24">
        <v>2263.1313140146949</v>
      </c>
      <c r="D13" s="24">
        <f t="shared" ref="D13:D14" si="0">SUM(B13:C13)</f>
        <v>4000.0000000000005</v>
      </c>
    </row>
    <row r="14" spans="1:7" x14ac:dyDescent="0.35">
      <c r="A14" s="8" t="s">
        <v>6</v>
      </c>
      <c r="B14" s="24">
        <v>1486.8686859853055</v>
      </c>
      <c r="C14" s="24">
        <v>2013.1313140146949</v>
      </c>
      <c r="D14" s="24">
        <f t="shared" si="0"/>
        <v>3500.0000000000005</v>
      </c>
    </row>
    <row r="15" spans="1:7" x14ac:dyDescent="0.35">
      <c r="A15" s="14" t="s">
        <v>16</v>
      </c>
      <c r="B15" s="24">
        <f>SUM(B12:B14)</f>
        <v>4999.9999976965228</v>
      </c>
      <c r="C15" s="24">
        <f>SUM(C12:C14)</f>
        <v>6590.9090929090044</v>
      </c>
      <c r="D15" s="24"/>
    </row>
    <row r="16" spans="1:7" x14ac:dyDescent="0.35">
      <c r="A16" s="1" t="s">
        <v>20</v>
      </c>
      <c r="B16" s="1" t="s">
        <v>21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23</v>
      </c>
    </row>
    <row r="17" spans="1:7" x14ac:dyDescent="0.35">
      <c r="A17" s="1" t="s">
        <v>22</v>
      </c>
      <c r="B17" s="1">
        <f>B15*0.22</f>
        <v>1099.999999493235</v>
      </c>
      <c r="C17" s="1">
        <v>600</v>
      </c>
      <c r="D17" s="1">
        <v>0</v>
      </c>
      <c r="E17" s="1">
        <v>500</v>
      </c>
      <c r="F17" s="1">
        <v>0</v>
      </c>
      <c r="G17" s="1">
        <f>SUM(C17:F17)</f>
        <v>1100</v>
      </c>
    </row>
    <row r="18" spans="1:7" x14ac:dyDescent="0.35">
      <c r="A18" s="1" t="s">
        <v>24</v>
      </c>
      <c r="B18" s="1">
        <f>C15*0.22</f>
        <v>1450.000000439981</v>
      </c>
      <c r="C18" s="1">
        <v>0</v>
      </c>
      <c r="D18" s="1">
        <v>800</v>
      </c>
      <c r="E18" s="1">
        <v>0</v>
      </c>
      <c r="F18" s="1">
        <v>650</v>
      </c>
      <c r="G18" s="1">
        <f>SUM(C18:F18)</f>
        <v>1450</v>
      </c>
    </row>
    <row r="19" spans="1:7" x14ac:dyDescent="0.35">
      <c r="A19" s="1" t="s">
        <v>16</v>
      </c>
      <c r="C19" s="1">
        <f>SUM(C17:C18)</f>
        <v>600</v>
      </c>
      <c r="D19" s="1">
        <f>SUM(D17:D18)</f>
        <v>800</v>
      </c>
      <c r="E19" s="1">
        <f>SUM(E17:E18)</f>
        <v>500</v>
      </c>
      <c r="F19" s="1">
        <f>SUM(F17:F18)</f>
        <v>650</v>
      </c>
    </row>
    <row r="20" spans="1:7" x14ac:dyDescent="0.35">
      <c r="A20" s="1" t="s">
        <v>25</v>
      </c>
      <c r="C20" s="24">
        <v>600</v>
      </c>
      <c r="D20" s="24">
        <v>800</v>
      </c>
      <c r="E20" s="24">
        <v>500</v>
      </c>
      <c r="F20" s="24">
        <v>650</v>
      </c>
    </row>
    <row r="22" spans="1:7" x14ac:dyDescent="0.35">
      <c r="A22" s="15" t="s">
        <v>26</v>
      </c>
      <c r="B22" s="16">
        <f>SUMPRODUCT(B12:C14, C4:D6)</f>
        <v>686025252.4861505</v>
      </c>
    </row>
    <row r="23" spans="1:7" x14ac:dyDescent="0.35">
      <c r="A23" s="17" t="s">
        <v>27</v>
      </c>
      <c r="B23" s="18">
        <f>SUMPRODUCT(C17:F18, B8:E9)</f>
        <v>224250000</v>
      </c>
    </row>
    <row r="24" spans="1:7" x14ac:dyDescent="0.35">
      <c r="A24" s="19"/>
      <c r="B24" s="20"/>
    </row>
    <row r="25" spans="1:7" x14ac:dyDescent="0.35">
      <c r="A25" s="19" t="s">
        <v>28</v>
      </c>
      <c r="B25" s="20">
        <f>B23+B24</f>
        <v>224250000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winny reza</dc:creator>
  <cp:lastModifiedBy>winny reza</cp:lastModifiedBy>
  <dcterms:created xsi:type="dcterms:W3CDTF">2026-01-07T14:14:18Z</dcterms:created>
  <dcterms:modified xsi:type="dcterms:W3CDTF">2026-01-08T13:46:59Z</dcterms:modified>
</cp:coreProperties>
</file>